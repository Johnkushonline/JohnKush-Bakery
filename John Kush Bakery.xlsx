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Data Analytics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Sheet1!$A$1:$J$1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1" l="1"/>
  <c r="J16" i="1"/>
  <c r="J15" i="1"/>
  <c r="H3" i="1"/>
  <c r="J3" i="1" s="1"/>
  <c r="J14" i="1"/>
  <c r="J13" i="1"/>
  <c r="J4" i="1"/>
  <c r="J5" i="1"/>
  <c r="J6" i="1"/>
  <c r="J7" i="1"/>
  <c r="J8" i="1"/>
  <c r="J9" i="1"/>
  <c r="J10" i="1"/>
  <c r="J11" i="1"/>
  <c r="J2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<sst xmlns="http://schemas.openxmlformats.org/spreadsheetml/2006/main" count="45" uniqueCount="41">
  <si>
    <t>CUSTOMER ID</t>
  </si>
  <si>
    <t>NAME</t>
  </si>
  <si>
    <t>SURNAME</t>
  </si>
  <si>
    <t>GBENGA</t>
  </si>
  <si>
    <t>FUBARA</t>
  </si>
  <si>
    <t>BIMPE</t>
  </si>
  <si>
    <t>ALEX</t>
  </si>
  <si>
    <t>DEBORAH</t>
  </si>
  <si>
    <t>AYOMIDE</t>
  </si>
  <si>
    <t>FAVOR</t>
  </si>
  <si>
    <t>MERCY</t>
  </si>
  <si>
    <t>GOODNESS</t>
  </si>
  <si>
    <t>JOY</t>
  </si>
  <si>
    <t>AGBAJE</t>
  </si>
  <si>
    <t>OLAIYA</t>
  </si>
  <si>
    <t>BASSEY</t>
  </si>
  <si>
    <t>HAROON</t>
  </si>
  <si>
    <t>OLUOMO</t>
  </si>
  <si>
    <t>ADEBOLU</t>
  </si>
  <si>
    <t>BAMGBOSE</t>
  </si>
  <si>
    <t>AYOOLA</t>
  </si>
  <si>
    <t>SIMIOLA</t>
  </si>
  <si>
    <t>OLUGBEMI</t>
  </si>
  <si>
    <t>DATE</t>
  </si>
  <si>
    <t>ITEM PURCHASED</t>
  </si>
  <si>
    <t>PRICE</t>
  </si>
  <si>
    <t>QUANTITY</t>
  </si>
  <si>
    <t>REVENUE</t>
  </si>
  <si>
    <t>PROFIT MARGIN</t>
  </si>
  <si>
    <t>BREAD</t>
  </si>
  <si>
    <t>BISCUIT</t>
  </si>
  <si>
    <t>PUFFPUFF</t>
  </si>
  <si>
    <t>BSICUIT</t>
  </si>
  <si>
    <t>EGGROLL</t>
  </si>
  <si>
    <t>MEATPIE</t>
  </si>
  <si>
    <t>AVERAGE QUANTITY</t>
  </si>
  <si>
    <t>HIGHEST ORDER(PUFFPUFF)</t>
  </si>
  <si>
    <t>TOTAL REVENUE</t>
  </si>
  <si>
    <t>TOTAL PROFIT</t>
  </si>
  <si>
    <t>AVERAGE PRICE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</si>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</sst>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8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8" fontId="1" fillId="2" borderId="0" xfId="0" applyNumberFormat="1" applyFont="1" applyFill="1"/>
    <xf numFmtId="168" fontId="0" fillId="0" borderId="0" xfId="0" applyNumberFormat="1"/>
    <xf numFmtId="1" fontId="1" fillId="2" borderId="0" xfId="0" applyNumberFormat="1" applyFont="1" applyFill="1"/>
    <xf numFmtId="1" fontId="0" fillId="0" borderId="0" xfId="0" applyNumberFormat="1"/>
    <xf numFmtId="0" fontId="1" fillId="2" borderId="0" xfId="0" applyNumberFormat="1" applyFont="1" applyFill="1"/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I19" sqref="I19"/>
    </sheetView>
  </sheetViews>
  <sheetFormatPr defaultRowHeight="15" x14ac:dyDescent="0.25"/>
  <cols>
    <col min="1" max="1" width="20.42578125" style="7" customWidth="1"/>
    <col min="2" max="2" width="12.28515625" customWidth="1"/>
    <col min="3" max="3" width="26" customWidth="1"/>
    <col min="4" max="4" width="24" style="1" bestFit="1" customWidth="1"/>
    <col min="5" max="5" width="22.7109375" customWidth="1"/>
    <col min="6" max="6" width="11.7109375" style="5" customWidth="1"/>
    <col min="7" max="7" width="16.42578125" customWidth="1"/>
    <col min="8" max="8" width="14.5703125" style="5" customWidth="1"/>
    <col min="9" max="9" width="21" style="9" customWidth="1"/>
    <col min="10" max="10" width="11.85546875" style="5" customWidth="1"/>
  </cols>
  <sheetData>
    <row r="1" spans="1:10" s="2" customFormat="1" ht="14.25" x14ac:dyDescent="0.2">
      <c r="A1" s="6" t="s">
        <v>0</v>
      </c>
      <c r="B1" s="2" t="s">
        <v>1</v>
      </c>
      <c r="C1" s="2" t="s">
        <v>2</v>
      </c>
      <c r="D1" s="3" t="s">
        <v>23</v>
      </c>
      <c r="E1" s="2" t="s">
        <v>24</v>
      </c>
      <c r="F1" s="4" t="s">
        <v>25</v>
      </c>
      <c r="G1" s="2" t="s">
        <v>26</v>
      </c>
      <c r="H1" s="4" t="s">
        <v>27</v>
      </c>
      <c r="I1" s="8" t="s">
        <v>28</v>
      </c>
      <c r="J1" s="4" t="s">
        <v>40</v>
      </c>
    </row>
    <row r="2" spans="1:10" x14ac:dyDescent="0.25">
      <c r="A2" s="7">
        <v>1</v>
      </c>
      <c r="B2" t="s">
        <v>3</v>
      </c>
      <c r="C2" t="s">
        <v>22</v>
      </c>
      <c r="D2" s="1">
        <v>45720</v>
      </c>
      <c r="E2" t="s">
        <v>29</v>
      </c>
      <c r="F2" s="5">
        <v>2000</v>
      </c>
      <c r="G2">
        <v>2</v>
      </c>
      <c r="H2" s="5">
        <f>PRODUCT(F2:G2)</f>
        <v>4000</v>
      </c>
      <c r="I2" s="10">
        <v>0.3</v>
      </c>
      <c r="J2" s="5">
        <f>H2*I2</f>
        <v>1200</v>
      </c>
    </row>
    <row r="3" spans="1:10" x14ac:dyDescent="0.25">
      <c r="A3" s="7">
        <v>2</v>
      </c>
      <c r="B3" t="s">
        <v>4</v>
      </c>
      <c r="C3" t="s">
        <v>21</v>
      </c>
      <c r="D3" s="1">
        <v>45842</v>
      </c>
      <c r="E3" t="s">
        <v>30</v>
      </c>
      <c r="F3" s="5">
        <v>700</v>
      </c>
      <c r="G3">
        <v>5</v>
      </c>
      <c r="H3" s="5">
        <f>PRODUCT(F3:G3)</f>
        <v>3500</v>
      </c>
      <c r="I3" s="10">
        <v>0.3</v>
      </c>
      <c r="J3" s="5">
        <f t="shared" ref="J3:J11" si="0">H3*I3</f>
        <v>1050</v>
      </c>
    </row>
    <row r="4" spans="1:10" x14ac:dyDescent="0.25">
      <c r="A4" s="7">
        <v>3</v>
      </c>
      <c r="B4" t="s">
        <v>5</v>
      </c>
      <c r="C4" t="s">
        <v>20</v>
      </c>
      <c r="D4" s="1">
        <v>45873</v>
      </c>
      <c r="E4" t="s">
        <v>31</v>
      </c>
      <c r="F4" s="5">
        <v>800</v>
      </c>
      <c r="G4">
        <v>8</v>
      </c>
      <c r="H4" s="5">
        <f t="shared" ref="H3:H11" si="1">PRODUCT(F4:G4)</f>
        <v>6400</v>
      </c>
      <c r="I4" s="10">
        <v>0.3</v>
      </c>
      <c r="J4" s="5">
        <f t="shared" si="0"/>
        <v>1920</v>
      </c>
    </row>
    <row r="5" spans="1:10" x14ac:dyDescent="0.25">
      <c r="A5" s="7">
        <v>4</v>
      </c>
      <c r="B5" t="s">
        <v>6</v>
      </c>
      <c r="C5" t="s">
        <v>19</v>
      </c>
      <c r="D5" s="1">
        <v>45842</v>
      </c>
      <c r="E5" t="s">
        <v>32</v>
      </c>
      <c r="F5" s="5">
        <v>700</v>
      </c>
      <c r="G5">
        <v>3</v>
      </c>
      <c r="H5" s="5">
        <f t="shared" si="1"/>
        <v>2100</v>
      </c>
      <c r="I5" s="10">
        <v>0.3</v>
      </c>
      <c r="J5" s="5">
        <f t="shared" si="0"/>
        <v>630</v>
      </c>
    </row>
    <row r="6" spans="1:10" x14ac:dyDescent="0.25">
      <c r="A6" s="7">
        <v>5</v>
      </c>
      <c r="B6" t="s">
        <v>7</v>
      </c>
      <c r="C6" t="s">
        <v>18</v>
      </c>
      <c r="D6" s="1">
        <v>45781</v>
      </c>
      <c r="E6" t="s">
        <v>33</v>
      </c>
      <c r="F6" s="5">
        <v>650</v>
      </c>
      <c r="G6">
        <v>4</v>
      </c>
      <c r="H6" s="5">
        <f t="shared" si="1"/>
        <v>2600</v>
      </c>
      <c r="I6" s="10">
        <v>0.3</v>
      </c>
      <c r="J6" s="5">
        <f t="shared" si="0"/>
        <v>780</v>
      </c>
    </row>
    <row r="7" spans="1:10" x14ac:dyDescent="0.25">
      <c r="A7" s="7">
        <v>6</v>
      </c>
      <c r="B7" t="s">
        <v>8</v>
      </c>
      <c r="C7" t="s">
        <v>17</v>
      </c>
      <c r="D7" s="1">
        <v>45812</v>
      </c>
      <c r="E7" t="s">
        <v>34</v>
      </c>
      <c r="F7" s="5">
        <v>900</v>
      </c>
      <c r="G7">
        <v>2</v>
      </c>
      <c r="H7" s="5">
        <f t="shared" si="1"/>
        <v>1800</v>
      </c>
      <c r="I7" s="10">
        <v>0.3</v>
      </c>
      <c r="J7" s="5">
        <f t="shared" si="0"/>
        <v>540</v>
      </c>
    </row>
    <row r="8" spans="1:10" x14ac:dyDescent="0.25">
      <c r="A8" s="7">
        <v>7</v>
      </c>
      <c r="B8" t="s">
        <v>9</v>
      </c>
      <c r="C8" t="s">
        <v>16</v>
      </c>
      <c r="D8" s="1">
        <v>45720</v>
      </c>
      <c r="E8" t="s">
        <v>33</v>
      </c>
      <c r="F8" s="5">
        <v>650</v>
      </c>
      <c r="G8">
        <v>5</v>
      </c>
      <c r="H8" s="5">
        <f t="shared" si="1"/>
        <v>3250</v>
      </c>
      <c r="I8" s="10">
        <v>0.3</v>
      </c>
      <c r="J8" s="5">
        <f t="shared" si="0"/>
        <v>975</v>
      </c>
    </row>
    <row r="9" spans="1:10" x14ac:dyDescent="0.25">
      <c r="A9" s="7">
        <v>8</v>
      </c>
      <c r="B9" t="s">
        <v>10</v>
      </c>
      <c r="C9" t="s">
        <v>15</v>
      </c>
      <c r="D9" s="1">
        <v>45692</v>
      </c>
      <c r="E9" t="s">
        <v>31</v>
      </c>
      <c r="F9" s="5">
        <v>800</v>
      </c>
      <c r="G9">
        <v>4</v>
      </c>
      <c r="H9" s="5">
        <f t="shared" si="1"/>
        <v>3200</v>
      </c>
      <c r="I9" s="10">
        <v>0.3</v>
      </c>
      <c r="J9" s="5">
        <f t="shared" si="0"/>
        <v>960</v>
      </c>
    </row>
    <row r="10" spans="1:10" x14ac:dyDescent="0.25">
      <c r="A10" s="7">
        <v>9</v>
      </c>
      <c r="B10" t="s">
        <v>11</v>
      </c>
      <c r="C10" t="s">
        <v>14</v>
      </c>
      <c r="D10" s="1">
        <v>45661</v>
      </c>
      <c r="E10" t="s">
        <v>29</v>
      </c>
      <c r="F10" s="5">
        <v>2000</v>
      </c>
      <c r="G10">
        <v>7</v>
      </c>
      <c r="H10" s="5">
        <f t="shared" si="1"/>
        <v>14000</v>
      </c>
      <c r="I10" s="10">
        <v>0.3</v>
      </c>
      <c r="J10" s="5">
        <f t="shared" si="0"/>
        <v>4200</v>
      </c>
    </row>
    <row r="11" spans="1:10" x14ac:dyDescent="0.25">
      <c r="A11" s="7">
        <v>10</v>
      </c>
      <c r="B11" t="s">
        <v>12</v>
      </c>
      <c r="C11" t="s">
        <v>13</v>
      </c>
      <c r="D11" s="1">
        <v>45720</v>
      </c>
      <c r="E11" t="s">
        <v>34</v>
      </c>
      <c r="F11" s="5">
        <v>900</v>
      </c>
      <c r="G11">
        <v>3</v>
      </c>
      <c r="H11" s="5">
        <f t="shared" si="1"/>
        <v>2700</v>
      </c>
      <c r="I11" s="10">
        <v>0.3</v>
      </c>
      <c r="J11" s="5">
        <f t="shared" si="0"/>
        <v>810</v>
      </c>
    </row>
    <row r="13" spans="1:10" x14ac:dyDescent="0.25">
      <c r="C13" t="s">
        <v>35</v>
      </c>
      <c r="J13" s="5">
        <f>AVERAGE(G2:G11)</f>
        <v>4.3</v>
      </c>
    </row>
    <row r="14" spans="1:10" x14ac:dyDescent="0.25">
      <c r="C14" t="s">
        <v>36</v>
      </c>
      <c r="J14" s="5">
        <f>MAX(G2:G11)</f>
        <v>8</v>
      </c>
    </row>
    <row r="15" spans="1:10" x14ac:dyDescent="0.25">
      <c r="C15" t="s">
        <v>37</v>
      </c>
      <c r="J15" s="5">
        <f>SUM(H2:H11)</f>
        <v>43550</v>
      </c>
    </row>
    <row r="16" spans="1:10" x14ac:dyDescent="0.25">
      <c r="C16" t="s">
        <v>38</v>
      </c>
      <c r="J16" s="5">
        <f>SUM(J2:J11)</f>
        <v>13065</v>
      </c>
    </row>
    <row r="17" spans="3:10" x14ac:dyDescent="0.25">
      <c r="C17" t="s">
        <v>39</v>
      </c>
      <c r="J17" s="5">
        <f>AVERAGE(F2:F11)</f>
        <v>1010</v>
      </c>
    </row>
  </sheetData>
  <autoFilter ref="A1:J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2025-05-01T15:09:37Z</dcterms:created>
  <dcterms:modified xsi:type="dcterms:W3CDTF">2025-05-01T18:30:26Z</dcterms:modified>
</cp:coreProperties>
</file>